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oncox/Desktop/"/>
    </mc:Choice>
  </mc:AlternateContent>
  <xr:revisionPtr revIDLastSave="0" documentId="8_{B3F4F936-2481-EF4E-B8CD-B2408DEB11B6}" xr6:coauthVersionLast="47" xr6:coauthVersionMax="47" xr10:uidLastSave="{00000000-0000-0000-0000-000000000000}"/>
  <bookViews>
    <workbookView xWindow="3440" yWindow="780" windowWidth="25920" windowHeight="18780" tabRatio="500" xr2:uid="{00000000-000D-0000-FFFF-FFFF00000000}"/>
  </bookViews>
  <sheets>
    <sheet name="Budget" sheetId="1" r:id="rId1"/>
    <sheet name="Chart Data" sheetId="2" state="hidden" r:id="rId2"/>
  </sheets>
  <definedNames>
    <definedName name="TotalMonthlyExpenses">Budget!$D$6</definedName>
    <definedName name="TotalMonthlyIncome">Budget!$D$5</definedName>
    <definedName name="TotalMonthlySavings">Budget!$D$7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9" i="1" l="1"/>
  <c r="E48" i="1"/>
  <c r="E47" i="1"/>
  <c r="E46" i="1"/>
  <c r="D11" i="1"/>
  <c r="D10" i="1"/>
  <c r="D7" i="1"/>
  <c r="D6" i="1"/>
  <c r="B2" i="2" s="1"/>
  <c r="B3" i="2" s="1"/>
  <c r="D5" i="1"/>
  <c r="D8" i="1" s="1"/>
  <c r="D9" i="1" l="1"/>
</calcChain>
</file>

<file path=xl/sharedStrings.xml><?xml version="1.0" encoding="utf-8"?>
<sst xmlns="http://schemas.openxmlformats.org/spreadsheetml/2006/main" count="98" uniqueCount="56">
  <si>
    <t>🍑  328 Hopping Peach — Monthly Budget</t>
  </si>
  <si>
    <t>Budget Month</t>
  </si>
  <si>
    <t>June 2026</t>
  </si>
  <si>
    <t>SUMMARY</t>
  </si>
  <si>
    <t>Total Income</t>
  </si>
  <si>
    <t>Total Expenses</t>
  </si>
  <si>
    <t>Total Savings</t>
  </si>
  <si>
    <t>Cash Left Over</t>
  </si>
  <si>
    <t>% of Income Spent</t>
  </si>
  <si>
    <t>Bills Paid</t>
  </si>
  <si>
    <t>Still To Pay</t>
  </si>
  <si>
    <t>MONTHLY INCOME</t>
  </si>
  <si>
    <t>ITEM</t>
  </si>
  <si>
    <t>PAY DATE</t>
  </si>
  <si>
    <t>AMOUNT</t>
  </si>
  <si>
    <t>Total Safety check 1</t>
  </si>
  <si>
    <t>[Date]</t>
  </si>
  <si>
    <t>Total Safety check 2</t>
  </si>
  <si>
    <t>Other</t>
  </si>
  <si>
    <t>MONTHLY EXPENSES (BILLS)</t>
  </si>
  <si>
    <t>DUE DATE</t>
  </si>
  <si>
    <t>PAID</t>
  </si>
  <si>
    <t>Union Home</t>
  </si>
  <si>
    <t>No</t>
  </si>
  <si>
    <t>PEC Electric</t>
  </si>
  <si>
    <t>Centerpoint Gas</t>
  </si>
  <si>
    <t>Verizon Cell</t>
  </si>
  <si>
    <t>Kissing Tree</t>
  </si>
  <si>
    <t>Car payment</t>
  </si>
  <si>
    <t>Car Insurance</t>
  </si>
  <si>
    <t>Visa (Family/food/etc)</t>
  </si>
  <si>
    <t>Misc Repairs/Maint</t>
  </si>
  <si>
    <t>Culligan</t>
  </si>
  <si>
    <t>Cable/TV Spectrum</t>
  </si>
  <si>
    <t>Water/Trash</t>
  </si>
  <si>
    <t>Generac</t>
  </si>
  <si>
    <t>Lawn/Pest/other</t>
  </si>
  <si>
    <t>Southwest trips (average)</t>
  </si>
  <si>
    <t>MONTHLY SAVINGS</t>
  </si>
  <si>
    <t>DATE</t>
  </si>
  <si>
    <t>Emergency Fund</t>
  </si>
  <si>
    <t>Retirement / Investing</t>
  </si>
  <si>
    <t>General Savings</t>
  </si>
  <si>
    <t>SAVINGS GOALS</t>
  </si>
  <si>
    <t>GOAL</t>
  </si>
  <si>
    <t>TARGET</t>
  </si>
  <si>
    <t>SAVED</t>
  </si>
  <si>
    <t>PROGRESS</t>
  </si>
  <si>
    <t>Vacation / Trips</t>
  </si>
  <si>
    <t>Home Projects</t>
  </si>
  <si>
    <t>NOTES</t>
  </si>
  <si>
    <t>Tip: tap a bill's PAID cell and choose Yes once it's paid — the row turns green and "Still To Pay" updates automatically.</t>
  </si>
  <si>
    <t>Category</t>
  </si>
  <si>
    <t>Value</t>
  </si>
  <si>
    <t>Spent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</si>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</sst>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1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7F7F7F"/>
      <name val="Arial"/>
      <family val="2"/>
    </font>
    <font>
      <b/>
      <sz val="11"/>
      <color rgb="FFE0785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E07856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7F7F7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07856"/>
        <bgColor rgb="FFC0504D"/>
      </patternFill>
    </fill>
    <fill>
      <patternFill patternType="solid">
        <fgColor rgb="FFFFF7F2"/>
        <bgColor rgb="FFFFFFFF"/>
      </patternFill>
    </fill>
    <fill>
      <patternFill patternType="solid">
        <fgColor rgb="FFF4A988"/>
        <bgColor rgb="FFD9C3B5"/>
      </patternFill>
    </fill>
    <fill>
      <patternFill patternType="solid">
        <fgColor rgb="FFFCE8DC"/>
        <bgColor rgb="FFFBE3E1"/>
      </patternFill>
    </fill>
  </fills>
  <borders count="2">
    <border>
      <left/>
      <right/>
      <top/>
      <bottom/>
      <diagonal/>
    </border>
    <border>
      <left style="thin">
        <color rgb="FFD9C3B5"/>
      </left>
      <right style="thin">
        <color rgb="FFD9C3B5"/>
      </right>
      <top style="thin">
        <color rgb="FFD9C3B5"/>
      </top>
      <bottom style="thin">
        <color rgb="FFD9C3B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0" fillId="0" borderId="0" xfId="0" applyFont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b/>
        <sz val="11"/>
        <color rgb="FFC0392B"/>
        <name val="Arial"/>
        <charset val="1"/>
      </font>
    </dxf>
    <dxf>
      <font>
        <b/>
        <sz val="12"/>
        <color rgb="FF1E7E34"/>
        <name val="Arial"/>
        <charset val="1"/>
      </font>
    </dxf>
    <dxf>
      <font>
        <b/>
        <sz val="12"/>
        <color rgb="FFC0392B"/>
        <name val="Arial"/>
        <charset val="1"/>
      </font>
      <fill>
        <patternFill>
          <bgColor rgb="FFFBE3E1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D9C3B5"/>
      <rgbColor rgb="FF7F7F7F"/>
      <rgbColor rgb="FF9999FF"/>
      <rgbColor rgb="FFC0504D"/>
      <rgbColor rgb="FFFFF7F2"/>
      <rgbColor rgb="FFCCFFFF"/>
      <rgbColor rgb="FF660066"/>
      <rgbColor rgb="FFE0785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DC"/>
      <rgbColor rgb="FF99CCFF"/>
      <rgbColor rgb="FFF4A988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Income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E8D-0C4A-A7A6-E2C85A815E5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E8D-0C4A-A7A6-E2C85A815E5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E8D-0C4A-A7A6-E2C85A815E5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E8D-0C4A-A7A6-E2C85A815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Data'!$A$2:$A$3</c:f>
              <c:strCache>
                <c:ptCount val="2"/>
                <c:pt idx="0">
                  <c:v>Spent</c:v>
                </c:pt>
                <c:pt idx="1">
                  <c:v>Remaining</c:v>
                </c:pt>
              </c:strCache>
            </c:strRef>
          </c:cat>
          <c:val>
            <c:numRef>
              <c:f>'Chart Data'!$B$2:$B$3</c:f>
              <c:numCache>
                <c:formatCode>General</c:formatCode>
                <c:ptCount val="2"/>
                <c:pt idx="0">
                  <c:v>0.92868686868686867</c:v>
                </c:pt>
                <c:pt idx="1">
                  <c:v>7.1313131313131328E-2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8D-0C4A-A7A6-E2C85A815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10</xdr:col>
      <xdr:colOff>201240</xdr:colOff>
      <xdr:row>14</xdr:row>
      <xdr:rowOff>129960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Expenses" displayName="MonthlyExpenses" ref="B20:E35" totalsRowShown="0">
  <autoFilter ref="B20:E35" xr:uid="{00000000-0009-0000-0100-000001000000}"/>
  <tableColumns count="4">
    <tableColumn id="1" xr3:uid="{00000000-0010-0000-0000-000001000000}" name="ITEM"/>
    <tableColumn id="2" xr3:uid="{00000000-0010-0000-0000-000002000000}" name="DUE DATE"/>
    <tableColumn id="3" xr3:uid="{00000000-0010-0000-0000-000003000000}" name="AMOUNT"/>
    <tableColumn id="4" xr3:uid="{00000000-0010-0000-0000-000004000000}" name="PA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Income" displayName="MonthlyIncome" ref="B14:D17" totalsRowShown="0">
  <autoFilter ref="B14:D17" xr:uid="{00000000-0009-0000-0100-000002000000}"/>
  <tableColumns count="3">
    <tableColumn id="1" xr3:uid="{00000000-0010-0000-0100-000001000000}" name="ITEM"/>
    <tableColumn id="2" xr3:uid="{00000000-0010-0000-0100-000002000000}" name="PAY DATE"/>
    <tableColumn id="3" xr3:uid="{00000000-0010-0000-0100-000003000000}" name="AM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vings" displayName="Savings" ref="B38:D42" totalsRowShown="0">
  <autoFilter ref="B38:D42" xr:uid="{00000000-0009-0000-0100-000003000000}"/>
  <tableColumns count="3">
    <tableColumn id="1" xr3:uid="{00000000-0010-0000-0200-000001000000}" name="ITEM"/>
    <tableColumn id="2" xr3:uid="{00000000-0010-0000-0200-000002000000}" name="DATE"/>
    <tableColumn id="3" xr3:uid="{00000000-0010-0000-0200-000003000000}" name="AM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vingsGoals" displayName="SavingsGoals" ref="B45:E49" totalsRowShown="0">
  <autoFilter ref="B45:E49" xr:uid="{00000000-0009-0000-0100-000004000000}"/>
  <tableColumns count="4">
    <tableColumn id="1" xr3:uid="{00000000-0010-0000-0300-000001000000}" name="GOAL"/>
    <tableColumn id="2" xr3:uid="{00000000-0010-0000-0300-000002000000}" name="TARGET"/>
    <tableColumn id="3" xr3:uid="{00000000-0010-0000-0300-000003000000}" name="SAVED"/>
    <tableColumn id="4" xr3:uid="{00000000-0010-0000-0300-000004000000}" name="PROG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4"/>
  <sheetViews>
    <sheetView showGridLines="0"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2" width="23" customWidth="1"/>
    <col min="3" max="4" width="12" customWidth="1"/>
    <col min="5" max="5" width="9" customWidth="1"/>
    <col min="6" max="6" width="3" customWidth="1"/>
    <col min="7" max="8" width="13" customWidth="1"/>
    <col min="9" max="11" width="6" customWidth="1"/>
  </cols>
  <sheetData>
    <row r="1" spans="2:5" ht="30" customHeight="1" x14ac:dyDescent="0.2">
      <c r="B1" s="11" t="s">
        <v>0</v>
      </c>
      <c r="C1" s="11"/>
      <c r="D1" s="11"/>
      <c r="E1" s="11"/>
    </row>
    <row r="2" spans="2:5" x14ac:dyDescent="0.2">
      <c r="B2" s="10" t="s">
        <v>1</v>
      </c>
      <c r="C2" s="10"/>
      <c r="D2" s="9" t="s">
        <v>2</v>
      </c>
      <c r="E2" s="9"/>
    </row>
    <row r="4" spans="2:5" ht="19.5" customHeight="1" x14ac:dyDescent="0.2">
      <c r="B4" s="8" t="s">
        <v>3</v>
      </c>
      <c r="C4" s="8"/>
      <c r="D4" s="8"/>
      <c r="E4" s="8"/>
    </row>
    <row r="5" spans="2:5" x14ac:dyDescent="0.2">
      <c r="B5" s="7" t="s">
        <v>4</v>
      </c>
      <c r="C5" s="7"/>
      <c r="D5" s="6">
        <f>SUM(MonthlyIncome[AMOUNT])</f>
        <v>9900</v>
      </c>
      <c r="E5" s="6"/>
    </row>
    <row r="6" spans="2:5" x14ac:dyDescent="0.2">
      <c r="B6" s="7" t="s">
        <v>5</v>
      </c>
      <c r="C6" s="7"/>
      <c r="D6" s="6">
        <f>SUM(MonthlyExpenses[AMOUNT])</f>
        <v>9194</v>
      </c>
      <c r="E6" s="6"/>
    </row>
    <row r="7" spans="2:5" x14ac:dyDescent="0.2">
      <c r="B7" s="7" t="s">
        <v>6</v>
      </c>
      <c r="C7" s="7"/>
      <c r="D7" s="6">
        <f>SUM(Savings[AMOUNT])</f>
        <v>0</v>
      </c>
      <c r="E7" s="6"/>
    </row>
    <row r="8" spans="2:5" ht="16" x14ac:dyDescent="0.2">
      <c r="B8" s="5" t="s">
        <v>7</v>
      </c>
      <c r="C8" s="5"/>
      <c r="D8" s="4">
        <f>D5-D6-D7</f>
        <v>706</v>
      </c>
      <c r="E8" s="4"/>
    </row>
    <row r="9" spans="2:5" x14ac:dyDescent="0.2">
      <c r="B9" s="7" t="s">
        <v>8</v>
      </c>
      <c r="C9" s="7"/>
      <c r="D9" s="3">
        <f>IFERROR(D6/D5,0)</f>
        <v>0.92868686868686867</v>
      </c>
      <c r="E9" s="3"/>
    </row>
    <row r="10" spans="2:5" x14ac:dyDescent="0.2">
      <c r="B10" s="7" t="s">
        <v>9</v>
      </c>
      <c r="C10" s="7"/>
      <c r="D10" s="2" t="str">
        <f>COUNTIF(MonthlyExpenses[PAID],"Yes")&amp;" of "&amp;COUNTA(MonthlyExpenses[ITEM])</f>
        <v>0 of 15</v>
      </c>
      <c r="E10" s="2"/>
    </row>
    <row r="11" spans="2:5" x14ac:dyDescent="0.2">
      <c r="B11" s="5" t="s">
        <v>10</v>
      </c>
      <c r="C11" s="5"/>
      <c r="D11" s="6">
        <f>SUMIFS(MonthlyExpenses[AMOUNT],MonthlyExpenses[PAID],"No")</f>
        <v>9194</v>
      </c>
      <c r="E11" s="6"/>
    </row>
    <row r="13" spans="2:5" ht="19.5" customHeight="1" x14ac:dyDescent="0.2">
      <c r="B13" s="8" t="s">
        <v>11</v>
      </c>
      <c r="C13" s="8"/>
      <c r="D13" s="8"/>
      <c r="E13" s="8"/>
    </row>
    <row r="14" spans="2:5" x14ac:dyDescent="0.2">
      <c r="B14" s="12" t="s">
        <v>12</v>
      </c>
      <c r="C14" s="12" t="s">
        <v>13</v>
      </c>
      <c r="D14" s="12" t="s">
        <v>14</v>
      </c>
    </row>
    <row r="15" spans="2:5" x14ac:dyDescent="0.2">
      <c r="B15" t="s">
        <v>15</v>
      </c>
      <c r="C15" t="s">
        <v>16</v>
      </c>
      <c r="D15" s="13">
        <v>4700</v>
      </c>
    </row>
    <row r="16" spans="2:5" x14ac:dyDescent="0.2">
      <c r="B16" t="s">
        <v>17</v>
      </c>
      <c r="C16" t="s">
        <v>16</v>
      </c>
      <c r="D16" s="13">
        <v>5200</v>
      </c>
    </row>
    <row r="17" spans="2:5" x14ac:dyDescent="0.2">
      <c r="B17" t="s">
        <v>18</v>
      </c>
      <c r="C17" t="s">
        <v>16</v>
      </c>
      <c r="D17" s="13">
        <v>0</v>
      </c>
    </row>
    <row r="19" spans="2:5" ht="19.5" customHeight="1" x14ac:dyDescent="0.2">
      <c r="B19" s="8" t="s">
        <v>19</v>
      </c>
      <c r="C19" s="8"/>
      <c r="D19" s="8"/>
      <c r="E19" s="8"/>
    </row>
    <row r="20" spans="2:5" x14ac:dyDescent="0.2">
      <c r="B20" s="12" t="s">
        <v>12</v>
      </c>
      <c r="C20" s="12" t="s">
        <v>20</v>
      </c>
      <c r="D20" s="12" t="s">
        <v>14</v>
      </c>
      <c r="E20" s="12" t="s">
        <v>21</v>
      </c>
    </row>
    <row r="21" spans="2:5" x14ac:dyDescent="0.2">
      <c r="B21" t="s">
        <v>22</v>
      </c>
      <c r="C21" t="s">
        <v>16</v>
      </c>
      <c r="D21" s="13">
        <v>5250</v>
      </c>
      <c r="E21" s="14" t="s">
        <v>23</v>
      </c>
    </row>
    <row r="22" spans="2:5" x14ac:dyDescent="0.2">
      <c r="B22" t="s">
        <v>24</v>
      </c>
      <c r="C22" t="s">
        <v>16</v>
      </c>
      <c r="D22" s="13">
        <v>250</v>
      </c>
      <c r="E22" s="14" t="s">
        <v>23</v>
      </c>
    </row>
    <row r="23" spans="2:5" x14ac:dyDescent="0.2">
      <c r="B23" t="s">
        <v>25</v>
      </c>
      <c r="C23" t="s">
        <v>16</v>
      </c>
      <c r="D23" s="13">
        <v>125</v>
      </c>
      <c r="E23" s="14" t="s">
        <v>23</v>
      </c>
    </row>
    <row r="24" spans="2:5" x14ac:dyDescent="0.2">
      <c r="B24" t="s">
        <v>26</v>
      </c>
      <c r="C24" t="s">
        <v>16</v>
      </c>
      <c r="D24" s="13">
        <v>225</v>
      </c>
      <c r="E24" s="14" t="s">
        <v>23</v>
      </c>
    </row>
    <row r="25" spans="2:5" x14ac:dyDescent="0.2">
      <c r="B25" t="s">
        <v>27</v>
      </c>
      <c r="C25" t="s">
        <v>16</v>
      </c>
      <c r="D25" s="13">
        <v>255</v>
      </c>
      <c r="E25" s="14" t="s">
        <v>23</v>
      </c>
    </row>
    <row r="26" spans="2:5" x14ac:dyDescent="0.2">
      <c r="B26" t="s">
        <v>28</v>
      </c>
      <c r="C26" t="s">
        <v>16</v>
      </c>
      <c r="D26" s="13">
        <v>389</v>
      </c>
      <c r="E26" s="14" t="s">
        <v>23</v>
      </c>
    </row>
    <row r="27" spans="2:5" x14ac:dyDescent="0.2">
      <c r="B27" t="s">
        <v>29</v>
      </c>
      <c r="C27" t="s">
        <v>16</v>
      </c>
      <c r="D27" s="13">
        <v>270</v>
      </c>
      <c r="E27" s="14" t="s">
        <v>23</v>
      </c>
    </row>
    <row r="28" spans="2:5" x14ac:dyDescent="0.2">
      <c r="B28" t="s">
        <v>30</v>
      </c>
      <c r="C28" t="s">
        <v>16</v>
      </c>
      <c r="D28" s="13">
        <v>750</v>
      </c>
      <c r="E28" s="14" t="s">
        <v>23</v>
      </c>
    </row>
    <row r="29" spans="2:5" x14ac:dyDescent="0.2">
      <c r="B29" t="s">
        <v>31</v>
      </c>
      <c r="C29" t="s">
        <v>16</v>
      </c>
      <c r="D29" s="13">
        <v>100</v>
      </c>
      <c r="E29" s="14" t="s">
        <v>23</v>
      </c>
    </row>
    <row r="30" spans="2:5" x14ac:dyDescent="0.2">
      <c r="B30" t="s">
        <v>32</v>
      </c>
      <c r="C30" t="s">
        <v>16</v>
      </c>
      <c r="D30" s="13">
        <v>50</v>
      </c>
      <c r="E30" s="14" t="s">
        <v>23</v>
      </c>
    </row>
    <row r="31" spans="2:5" x14ac:dyDescent="0.2">
      <c r="B31" t="s">
        <v>33</v>
      </c>
      <c r="C31" t="s">
        <v>16</v>
      </c>
      <c r="D31" s="13">
        <v>180</v>
      </c>
      <c r="E31" s="14" t="s">
        <v>23</v>
      </c>
    </row>
    <row r="32" spans="2:5" x14ac:dyDescent="0.2">
      <c r="B32" t="s">
        <v>34</v>
      </c>
      <c r="C32" t="s">
        <v>16</v>
      </c>
      <c r="D32" s="13">
        <v>275</v>
      </c>
      <c r="E32" s="14" t="s">
        <v>23</v>
      </c>
    </row>
    <row r="33" spans="2:5" x14ac:dyDescent="0.2">
      <c r="B33" t="s">
        <v>35</v>
      </c>
      <c r="C33" t="s">
        <v>16</v>
      </c>
      <c r="D33" s="13">
        <v>75</v>
      </c>
      <c r="E33" s="14" t="s">
        <v>23</v>
      </c>
    </row>
    <row r="34" spans="2:5" x14ac:dyDescent="0.2">
      <c r="B34" t="s">
        <v>36</v>
      </c>
      <c r="C34" t="s">
        <v>16</v>
      </c>
      <c r="D34" s="13">
        <v>250</v>
      </c>
      <c r="E34" s="14" t="s">
        <v>23</v>
      </c>
    </row>
    <row r="35" spans="2:5" x14ac:dyDescent="0.2">
      <c r="B35" t="s">
        <v>37</v>
      </c>
      <c r="C35" t="s">
        <v>16</v>
      </c>
      <c r="D35" s="13">
        <v>750</v>
      </c>
      <c r="E35" s="14" t="s">
        <v>23</v>
      </c>
    </row>
    <row r="37" spans="2:5" ht="19.5" customHeight="1" x14ac:dyDescent="0.2">
      <c r="B37" s="8" t="s">
        <v>38</v>
      </c>
      <c r="C37" s="8"/>
      <c r="D37" s="8"/>
      <c r="E37" s="8"/>
    </row>
    <row r="38" spans="2:5" x14ac:dyDescent="0.2">
      <c r="B38" s="12" t="s">
        <v>12</v>
      </c>
      <c r="C38" s="12" t="s">
        <v>39</v>
      </c>
      <c r="D38" s="12" t="s">
        <v>14</v>
      </c>
    </row>
    <row r="39" spans="2:5" x14ac:dyDescent="0.2">
      <c r="B39" t="s">
        <v>40</v>
      </c>
      <c r="C39" t="s">
        <v>16</v>
      </c>
      <c r="D39" s="13">
        <v>0</v>
      </c>
    </row>
    <row r="40" spans="2:5" x14ac:dyDescent="0.2">
      <c r="B40" t="s">
        <v>41</v>
      </c>
      <c r="C40" t="s">
        <v>16</v>
      </c>
      <c r="D40" s="13">
        <v>0</v>
      </c>
    </row>
    <row r="41" spans="2:5" x14ac:dyDescent="0.2">
      <c r="B41" t="s">
        <v>42</v>
      </c>
      <c r="C41" t="s">
        <v>16</v>
      </c>
      <c r="D41" s="13">
        <v>0</v>
      </c>
    </row>
    <row r="42" spans="2:5" x14ac:dyDescent="0.2">
      <c r="B42" t="s">
        <v>18</v>
      </c>
      <c r="C42" t="s">
        <v>16</v>
      </c>
      <c r="D42" s="13">
        <v>0</v>
      </c>
    </row>
    <row r="44" spans="2:5" ht="19.5" customHeight="1" x14ac:dyDescent="0.2">
      <c r="B44" s="8" t="s">
        <v>43</v>
      </c>
      <c r="C44" s="8"/>
      <c r="D44" s="8"/>
      <c r="E44" s="8"/>
    </row>
    <row r="45" spans="2:5" x14ac:dyDescent="0.2">
      <c r="B45" s="12" t="s">
        <v>44</v>
      </c>
      <c r="C45" s="12" t="s">
        <v>45</v>
      </c>
      <c r="D45" s="12" t="s">
        <v>46</v>
      </c>
      <c r="E45" s="12" t="s">
        <v>47</v>
      </c>
    </row>
    <row r="46" spans="2:5" x14ac:dyDescent="0.2">
      <c r="B46" t="s">
        <v>40</v>
      </c>
      <c r="C46" s="13">
        <v>10000</v>
      </c>
      <c r="D46" s="13">
        <v>0</v>
      </c>
      <c r="E46" s="15">
        <f>IFERROR(D46/C46,0)</f>
        <v>0</v>
      </c>
    </row>
    <row r="47" spans="2:5" x14ac:dyDescent="0.2">
      <c r="B47" t="s">
        <v>48</v>
      </c>
      <c r="C47" s="13">
        <v>5000</v>
      </c>
      <c r="D47" s="13">
        <v>0</v>
      </c>
      <c r="E47" s="15">
        <f>IFERROR(D47/C47,0)</f>
        <v>0</v>
      </c>
    </row>
    <row r="48" spans="2:5" x14ac:dyDescent="0.2">
      <c r="B48" t="s">
        <v>49</v>
      </c>
      <c r="C48" s="13">
        <v>3000</v>
      </c>
      <c r="D48" s="13">
        <v>0</v>
      </c>
      <c r="E48" s="15">
        <f>IFERROR(D48/C48,0)</f>
        <v>0</v>
      </c>
    </row>
    <row r="49" spans="2:5" x14ac:dyDescent="0.2">
      <c r="B49" t="s">
        <v>18</v>
      </c>
      <c r="C49" s="13">
        <v>0</v>
      </c>
      <c r="D49" s="13">
        <v>0</v>
      </c>
      <c r="E49" s="15">
        <f>IFERROR(D49/C49,0)</f>
        <v>0</v>
      </c>
    </row>
    <row r="51" spans="2:5" ht="19.5" customHeight="1" x14ac:dyDescent="0.2">
      <c r="B51" s="8" t="s">
        <v>50</v>
      </c>
      <c r="C51" s="8"/>
      <c r="D51" s="8"/>
      <c r="E51" s="8"/>
    </row>
    <row r="52" spans="2:5" ht="15" customHeight="1" x14ac:dyDescent="0.2">
      <c r="B52" s="1" t="s">
        <v>51</v>
      </c>
      <c r="C52" s="1"/>
      <c r="D52" s="1"/>
      <c r="E52" s="1"/>
    </row>
    <row r="53" spans="2:5" x14ac:dyDescent="0.2">
      <c r="B53" s="1"/>
      <c r="C53" s="1"/>
      <c r="D53" s="1"/>
      <c r="E53" s="1"/>
    </row>
    <row r="54" spans="2:5" x14ac:dyDescent="0.2">
      <c r="B54" s="1"/>
      <c r="C54" s="1"/>
      <c r="D54" s="1"/>
      <c r="E54" s="1"/>
    </row>
  </sheetData>
  <mergeCells count="24">
    <mergeCell ref="B52:E54"/>
    <mergeCell ref="B13:E13"/>
    <mergeCell ref="B19:E19"/>
    <mergeCell ref="B37:E37"/>
    <mergeCell ref="B44:E44"/>
    <mergeCell ref="B51:E51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1:E1"/>
    <mergeCell ref="B2:C2"/>
    <mergeCell ref="D2:E2"/>
    <mergeCell ref="B4:E4"/>
    <mergeCell ref="B5:C5"/>
    <mergeCell ref="D5:E5"/>
  </mergeCells>
  <conditionalFormatting sqref="B21:E35">
    <cfRule type="expression" dxfId="3" priority="2">
      <formula>$E21="Yes"</formula>
    </cfRule>
  </conditionalFormatting>
  <conditionalFormatting sqref="D8">
    <cfRule type="cellIs" dxfId="2" priority="3" operator="lessThan">
      <formula>0</formula>
    </cfRule>
    <cfRule type="cellIs" dxfId="1" priority="4" operator="greaterThanOrEqual">
      <formula>0</formula>
    </cfRule>
  </conditionalFormatting>
  <conditionalFormatting sqref="D9">
    <cfRule type="cellIs" dxfId="0" priority="5" operator="greaterThan">
      <formula>1</formula>
    </cfRule>
  </conditionalFormatting>
  <dataValidations count="1">
    <dataValidation type="list" allowBlank="1" sqref="E21:E35" xr:uid="{00000000-0002-0000-00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/>
  </sheetViews>
  <sheetFormatPr baseColWidth="10" defaultColWidth="8.66406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 t="s">
        <v>54</v>
      </c>
      <c r="B2">
        <f>MIN(TotalMonthlyExpenses/TotalMonthlyIncome,1)</f>
        <v>0.92868686868686867</v>
      </c>
    </row>
    <row r="3" spans="1:2" x14ac:dyDescent="0.2">
      <c r="A3" t="s">
        <v>55</v>
      </c>
      <c r="B3">
        <f>MAX(1-B2,0)</f>
        <v>7.1313131313131328E-2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Budget</vt:lpstr>
      <vt:lpstr>Chart Data</vt:lpstr>
      <vt:lpstr>TotalMonthlyExpenses</vt:lpstr>
      <vt:lpstr>TotalMonthlyIncome</vt:lpstr>
      <vt:lpstr>TotalMonthlySavings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Cox, Don</cp:lastModifiedBy>
  <cp:revision>1</cp:revision>
  <dcterms:created xsi:type="dcterms:W3CDTF">2026-06-28T18:40:09Z</dcterms:created>
  <dcterms:modified xsi:type="dcterms:W3CDTF">2026-06-28T18:42:45Z</dcterms:modified>
  <dc:language>en-US</dc:language>
</cp:coreProperties>
</file>